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Tool" sheetId="1" state="visible" r:id="rId1"/>
    <sheet xmlns:r="http://schemas.openxmlformats.org/officeDocument/2006/relationships" name="Technology Levels" sheetId="2" state="visible" r:id="rId2"/>
    <sheet xmlns:r="http://schemas.openxmlformats.org/officeDocument/2006/relationships" name="Cost 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1"/>
    </font>
    <font>
      <b val="1"/>
      <color rgb="00FFFFFF"/>
      <sz val="12"/>
    </font>
    <font>
      <b val="1"/>
    </font>
    <font>
      <b val="1"/>
      <color rgb="00FFFFFF"/>
      <sz val="14"/>
    </font>
    <font>
      <b val="1"/>
      <color rgb="000000FF"/>
      <sz val="12"/>
    </font>
    <font>
      <b val="1"/>
      <sz val="14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96B9EA"/>
        <bgColor rgb="0096B9EA"/>
      </patternFill>
    </fill>
    <fill>
      <patternFill patternType="solid">
        <fgColor rgb="00FFFFCC"/>
        <bgColor rgb="00FFFFCC"/>
      </patternFill>
    </fill>
    <fill>
      <patternFill patternType="solid">
        <fgColor rgb="0070AD47"/>
        <bgColor rgb="0070AD47"/>
      </patternFill>
    </fill>
    <fill>
      <patternFill patternType="solid">
        <fgColor rgb="00A23B72"/>
        <bgColor rgb="00A23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vertical="top" wrapText="1"/>
    </xf>
    <xf numFmtId="0" fontId="8" fillId="6" borderId="0" applyAlignment="1" pivotButton="0" quotePrefix="0" xfId="0">
      <alignment horizontal="center"/>
    </xf>
    <xf numFmtId="164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0" customWidth="1" min="3" max="3"/>
    <col width="5" customWidth="1" min="4" max="4"/>
    <col width="30" customWidth="1" min="5" max="5"/>
  </cols>
  <sheetData>
    <row r="1">
      <c r="A1" s="1" t="inlineStr">
        <is>
          <t>ARC Framework: Technology Selection Decision Tool</t>
        </is>
      </c>
    </row>
    <row r="2">
      <c r="A2" s="2" t="inlineStr">
        <is>
          <t>Answer the questions below to get a technology recommendation</t>
        </is>
      </c>
    </row>
    <row r="4">
      <c r="A4" s="3" t="inlineStr">
        <is>
          <t>1. BUDGET ANALYSIS</t>
        </is>
      </c>
    </row>
    <row r="5">
      <c r="A5" t="inlineStr">
        <is>
          <t>Total budget for robotics equipment:</t>
        </is>
      </c>
      <c r="C5" s="4" t="inlineStr">
        <is>
          <t>Enter amount</t>
        </is>
      </c>
    </row>
    <row r="6">
      <c r="A6" t="inlineStr">
        <is>
          <t>Number of students:</t>
        </is>
      </c>
      <c r="C6" s="4" t="inlineStr">
        <is>
          <t>Enter number</t>
        </is>
      </c>
    </row>
    <row r="7">
      <c r="A7" t="inlineStr">
        <is>
          <t>Budget per student:</t>
        </is>
      </c>
      <c r="C7" s="5">
        <f>IF(AND(ISNUMBER(C5),ISNUMBER(C6)),C5/C6,0)</f>
        <v/>
      </c>
    </row>
    <row r="9">
      <c r="A9" s="3" t="inlineStr">
        <is>
          <t>2. EDUCATIONAL CONTEXT</t>
        </is>
      </c>
    </row>
    <row r="10">
      <c r="A10" t="inlineStr">
        <is>
          <t>Student level (select from dropdown):</t>
        </is>
      </c>
      <c r="C10" s="4" t="inlineStr">
        <is>
          <t>Select</t>
        </is>
      </c>
    </row>
    <row r="11">
      <c r="A11" t="inlineStr">
        <is>
          <t>Prior robotics experience:</t>
        </is>
      </c>
      <c r="C11" s="4" t="inlineStr">
        <is>
          <t>Select</t>
        </is>
      </c>
    </row>
    <row r="12">
      <c r="A12" t="inlineStr">
        <is>
          <t>Primary learning objectives:</t>
        </is>
      </c>
      <c r="C12" s="4" t="inlineStr">
        <is>
          <t>Select</t>
        </is>
      </c>
    </row>
    <row r="14">
      <c r="A14" s="3" t="inlineStr">
        <is>
          <t>3. INFRASTRUCTURE &amp; RESOURCES</t>
        </is>
      </c>
    </row>
    <row r="15">
      <c r="A15" t="inlineStr">
        <is>
          <t>Dedicated robotics lab space:</t>
        </is>
      </c>
      <c r="C15" s="4" t="inlineStr">
        <is>
          <t>Select</t>
        </is>
      </c>
    </row>
    <row r="16">
      <c r="A16" t="inlineStr">
        <is>
          <t>Safety systems available:</t>
        </is>
      </c>
      <c r="C16" s="4" t="inlineStr">
        <is>
          <t>Select</t>
        </is>
      </c>
    </row>
    <row r="17">
      <c r="A17" t="inlineStr">
        <is>
          <t>Technical support staff:</t>
        </is>
      </c>
      <c r="C17" s="4" t="inlineStr">
        <is>
          <t>Select</t>
        </is>
      </c>
    </row>
    <row r="19">
      <c r="A19" s="6" t="inlineStr">
        <is>
          <t>RECOMMENDATION</t>
        </is>
      </c>
    </row>
    <row r="20">
      <c r="A20" s="5" t="inlineStr">
        <is>
          <t>Recommended Technology Level:</t>
        </is>
      </c>
      <c r="C20" s="7" t="inlineStr">
        <is>
          <t>See logic below</t>
        </is>
      </c>
    </row>
    <row r="21">
      <c r="A21" s="5" t="inlineStr">
        <is>
          <t>Justification:</t>
        </is>
      </c>
    </row>
    <row r="22">
      <c r="A22" s="8" t="n"/>
    </row>
    <row r="23"/>
    <row r="24"/>
  </sheetData>
  <mergeCells count="8">
    <mergeCell ref="A4:E4"/>
    <mergeCell ref="A2:E2"/>
    <mergeCell ref="A19:E19"/>
    <mergeCell ref="A1:E1"/>
    <mergeCell ref="A14:E14"/>
    <mergeCell ref="A22:E24"/>
    <mergeCell ref="C20:E20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18" customWidth="1" min="4" max="4"/>
    <col width="12" customWidth="1" min="5" max="5"/>
    <col width="30" customWidth="1" min="6" max="6"/>
    <col width="35" customWidth="1" min="7" max="7"/>
  </cols>
  <sheetData>
    <row r="1">
      <c r="A1" s="9" t="inlineStr">
        <is>
          <t>ARC Framework: Technology Level Reference</t>
        </is>
      </c>
    </row>
    <row r="3">
      <c r="A3" s="10" t="inlineStr">
        <is>
          <t>Level</t>
        </is>
      </c>
      <c r="B3" s="10" t="inlineStr">
        <is>
          <t>Name</t>
        </is>
      </c>
      <c r="C3" s="10" t="inlineStr">
        <is>
          <t>Examples</t>
        </is>
      </c>
      <c r="D3" s="10" t="inlineStr">
        <is>
          <t>Cost Range</t>
        </is>
      </c>
      <c r="E3" s="10" t="inlineStr">
        <is>
          <t>Effect Size</t>
        </is>
      </c>
      <c r="F3" s="10" t="inlineStr">
        <is>
          <t>Best For</t>
        </is>
      </c>
      <c r="G3" s="10" t="inlineStr">
        <is>
          <t>Considerations</t>
        </is>
      </c>
    </row>
    <row r="4" ht="45" customHeight="1">
      <c r="A4" s="11" t="inlineStr">
        <is>
          <t>Level 1-2</t>
        </is>
      </c>
      <c r="B4" s="8" t="inlineStr">
        <is>
          <t>Educational Kits</t>
        </is>
      </c>
      <c r="C4" s="8" t="inlineStr">
        <is>
          <t>LEGO Mindstorms, VEX IQ, Makeblock</t>
        </is>
      </c>
      <c r="D4" s="8" t="inlineStr">
        <is>
          <t>$300-$800</t>
        </is>
      </c>
      <c r="E4" s="8" t="inlineStr">
        <is>
          <t>d=0.59-0.64</t>
        </is>
      </c>
      <c r="F4" s="8" t="inlineStr">
        <is>
          <t>K-12, early undergrad, intro courses</t>
        </is>
      </c>
      <c r="G4" s="8" t="inlineStr">
        <is>
          <t>Easy to use, limited industrial relevance</t>
        </is>
      </c>
    </row>
    <row r="5" ht="45" customHeight="1">
      <c r="A5" s="11" t="inlineStr">
        <is>
          <t>Level 3</t>
        </is>
      </c>
      <c r="B5" s="8" t="inlineStr">
        <is>
          <t>Advanced Educational</t>
        </is>
      </c>
      <c r="C5" s="8" t="inlineStr">
        <is>
          <t>Dobot Magician, Arduino robots, Niryo One</t>
        </is>
      </c>
      <c r="D5" s="8" t="inlineStr">
        <is>
          <t>$2,000-$5,000</t>
        </is>
      </c>
      <c r="E5" s="8" t="inlineStr">
        <is>
          <t>d=0.68</t>
        </is>
      </c>
      <c r="F5" s="8" t="inlineStr">
        <is>
          <t>Undergrad engineering, technical programs</t>
        </is>
      </c>
      <c r="G5" s="8" t="inlineStr">
        <is>
          <t>Good balance of cost and capability</t>
        </is>
      </c>
    </row>
    <row r="6" ht="45" customHeight="1">
      <c r="A6" s="11" t="inlineStr">
        <is>
          <t>Level 4</t>
        </is>
      </c>
      <c r="B6" s="8" t="inlineStr">
        <is>
          <t>Didactic Industrial</t>
        </is>
      </c>
      <c r="C6" s="8" t="inlineStr">
        <is>
          <t>SCORBOT, KUKA youBot, UR3</t>
        </is>
      </c>
      <c r="D6" s="8" t="inlineStr">
        <is>
          <t>$8,000-$15,000</t>
        </is>
      </c>
      <c r="E6" s="8" t="inlineStr">
        <is>
          <t>d=0.73</t>
        </is>
      </c>
      <c r="F6" s="8" t="inlineStr">
        <is>
          <t>Advanced undergrad, graduate, professional</t>
        </is>
      </c>
      <c r="G6" s="8" t="inlineStr">
        <is>
          <t>Simplified industrial features</t>
        </is>
      </c>
    </row>
    <row r="7" ht="45" customHeight="1">
      <c r="A7" s="11" t="inlineStr">
        <is>
          <t>Level 5</t>
        </is>
      </c>
      <c r="B7" s="8" t="inlineStr">
        <is>
          <t>Industrial-Grade</t>
        </is>
      </c>
      <c r="C7" s="8" t="inlineStr">
        <is>
          <t>UR5e, UR10e, KUKA LBR iiwa, ABB IRB 1200</t>
        </is>
      </c>
      <c r="D7" s="8" t="inlineStr">
        <is>
          <t>$35,000-$150,000</t>
        </is>
      </c>
      <c r="E7" s="8" t="inlineStr">
        <is>
          <t>d=0.94</t>
        </is>
      </c>
      <c r="F7" s="8" t="inlineStr">
        <is>
          <t>Professional training, research, capstone</t>
        </is>
      </c>
      <c r="G7" s="8" t="inlineStr">
        <is>
          <t>Highest transferability to industry</t>
        </is>
      </c>
    </row>
    <row r="8" ht="45" customHeight="1">
      <c r="A8" s="11" t="inlineStr">
        <is>
          <t>Level 5 Remote</t>
        </is>
      </c>
      <c r="B8" s="8" t="inlineStr">
        <is>
          <t>Remote Laboratory</t>
        </is>
      </c>
      <c r="C8" s="8" t="inlineStr">
        <is>
          <t>Cloud-based access to Level 5 systems</t>
        </is>
      </c>
      <c r="D8" s="8" t="inlineStr">
        <is>
          <t>$45/student</t>
        </is>
      </c>
      <c r="E8" s="8" t="inlineStr">
        <is>
          <t>d=0.89</t>
        </is>
      </c>
      <c r="F8" s="8" t="inlineStr">
        <is>
          <t>All levels, optimal cost-effectiveness</t>
        </is>
      </c>
      <c r="G8" s="8" t="inlineStr">
        <is>
          <t>Best ROI, scalable, 24/7 access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9" t="inlineStr">
        <is>
          <t>Cost-Effectiveness Calculator</t>
        </is>
      </c>
    </row>
    <row r="3">
      <c r="A3" s="12" t="inlineStr">
        <is>
          <t>Technology Level</t>
        </is>
      </c>
      <c r="B3" s="12" t="inlineStr">
        <is>
          <t>Unit Cost</t>
        </is>
      </c>
      <c r="C3" s="12" t="inlineStr">
        <is>
          <t>Units Needed</t>
        </is>
      </c>
      <c r="D3" s="12" t="inlineStr">
        <is>
          <t>Initial Cost</t>
        </is>
      </c>
      <c r="E3" s="12" t="inlineStr">
        <is>
          <t>Annual Maintenance</t>
        </is>
      </c>
      <c r="F3" s="12" t="inlineStr">
        <is>
          <t>5-Year Total</t>
        </is>
      </c>
    </row>
    <row r="4">
      <c r="A4" s="5" t="inlineStr">
        <is>
          <t>Level 1-2: Educational Kits</t>
        </is>
      </c>
      <c r="B4" s="13" t="n">
        <v>500</v>
      </c>
      <c r="C4" s="4" t="inlineStr"/>
      <c r="D4" s="13">
        <f>B4*C4</f>
        <v/>
      </c>
      <c r="E4" s="13">
        <f>D4*0.10</f>
        <v/>
      </c>
      <c r="F4" s="13">
        <f>D4+E4*5</f>
        <v/>
      </c>
    </row>
    <row r="5">
      <c r="A5" s="5" t="inlineStr">
        <is>
          <t>Level 3: Advanced Educational</t>
        </is>
      </c>
      <c r="B5" s="13" t="n">
        <v>3500</v>
      </c>
      <c r="C5" s="4" t="inlineStr"/>
      <c r="D5" s="13">
        <f>B5*C5</f>
        <v/>
      </c>
      <c r="E5" s="13">
        <f>D5*0.12</f>
        <v/>
      </c>
      <c r="F5" s="13">
        <f>D5+E5*5</f>
        <v/>
      </c>
    </row>
    <row r="6">
      <c r="A6" s="5" t="inlineStr">
        <is>
          <t>Level 4: Didactic Industrial</t>
        </is>
      </c>
      <c r="B6" s="13" t="n">
        <v>12000</v>
      </c>
      <c r="C6" s="4" t="inlineStr"/>
      <c r="D6" s="13">
        <f>B6*C6</f>
        <v/>
      </c>
      <c r="E6" s="13">
        <f>D6*0.15</f>
        <v/>
      </c>
      <c r="F6" s="13">
        <f>D6+E6*5</f>
        <v/>
      </c>
    </row>
    <row r="7">
      <c r="A7" s="5" t="inlineStr">
        <is>
          <t>Level 5: Industrial-Grade</t>
        </is>
      </c>
      <c r="B7" s="13" t="n">
        <v>40000</v>
      </c>
      <c r="C7" s="4" t="inlineStr"/>
      <c r="D7" s="13">
        <f>B7*C7</f>
        <v/>
      </c>
      <c r="E7" s="13">
        <f>D7*0.20</f>
        <v/>
      </c>
      <c r="F7" s="13">
        <f>D7+E7*5</f>
        <v/>
      </c>
    </row>
    <row r="8">
      <c r="A8" s="5" t="inlineStr">
        <is>
          <t>Level 5: Remote Lab (per student)</t>
        </is>
      </c>
      <c r="B8" s="13" t="n">
        <v>45</v>
      </c>
      <c r="C8" s="4" t="inlineStr"/>
      <c r="D8" s="13">
        <f>B8*C8</f>
        <v/>
      </c>
      <c r="E8" s="13">
        <f>D8*0.05</f>
        <v/>
      </c>
      <c r="F8" s="13">
        <f>D8+E8*5</f>
        <v/>
      </c>
    </row>
    <row r="10">
      <c r="A10" s="14" t="inlineStr">
        <is>
          <t>Instructions:</t>
        </is>
      </c>
    </row>
    <row r="11">
      <c r="A11" t="inlineStr">
        <is>
          <t>1. Enter the number of units needed in column C (yellow cells)</t>
        </is>
      </c>
    </row>
    <row r="12">
      <c r="A12" t="inlineStr">
        <is>
          <t>2. Review calculated costs in columns D, E, and F</t>
        </is>
      </c>
    </row>
    <row r="13">
      <c r="A13" t="inlineStr">
        <is>
          <t>3. Compare 5-year total costs across technology levels</t>
        </is>
      </c>
    </row>
    <row r="14">
      <c r="A14" t="inlineStr">
        <is>
          <t>4. Consider effect sizes from Technology Levels sheet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2026-01-13T05:13:49Z</dcterms:created>
  <dcterms:modified xmlns:dcterms="http://purl.org/dc/terms/" xmlns:xsi="http://www.w3.org/2001/XMLSchema-instance" xsi:type="dcterms:W3CDTF">2026-01-13T05:13:49Z</dcterms:modified>
</cp:coreProperties>
</file>